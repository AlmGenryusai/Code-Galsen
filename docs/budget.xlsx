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Budget MVP 90j" sheetId="2" state="visible" r:id="rId4"/>
    <sheet name="Projection 12 mo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<sst xmlns="http://schemas.openxmlformats.org/spreadsheetml/2006/main" count="149" uniqueCount="129">
  <si>
    <t xml:space="preserve">Code Galsen — Hypothèses business</t>
  </si>
  <si>
    <t xml:space="preserve">Bleu = input modifiable · Noir = calculé</t>
  </si>
  <si>
    <t xml:space="preserve">PRODUIT</t>
  </si>
  <si>
    <t xml:space="preserve">Prix Pass Réussite (unitaire)</t>
  </si>
  <si>
    <t xml:space="preserve">FCFA</t>
  </si>
  <si>
    <t xml:space="preserve">Durée Pass</t>
  </si>
  <si>
    <t xml:space="preserve">jours</t>
  </si>
  <si>
    <t xml:space="preserve">Commission PayDunya</t>
  </si>
  <si>
    <t xml:space="preserve">%</t>
  </si>
  <si>
    <t xml:space="preserve">Coût SMS OTP unitaire</t>
  </si>
  <si>
    <t xml:space="preserve">Coût Africa's Talking init</t>
  </si>
  <si>
    <t xml:space="preserve">FCFA (crédits)</t>
  </si>
  <si>
    <t xml:space="preserve">ACQUISITION / FUNNEL</t>
  </si>
  <si>
    <t xml:space="preserve">Trafic mensuel cible mois 1</t>
  </si>
  <si>
    <t xml:space="preserve">visiteurs</t>
  </si>
  <si>
    <t xml:space="preserve">Taux inscription (visit → user)</t>
  </si>
  <si>
    <t xml:space="preserve">Taux activation pass (user → payant)</t>
  </si>
  <si>
    <t xml:space="preserve">Croissance mensuelle MoM</t>
  </si>
  <si>
    <t xml:space="preserve">% (organique + WoM)</t>
  </si>
  <si>
    <t xml:space="preserve">Churn re-pass à J+90</t>
  </si>
  <si>
    <t xml:space="preserve">% (pass renouvelé)</t>
  </si>
  <si>
    <t xml:space="preserve">OPS / RH</t>
  </si>
  <si>
    <t xml:space="preserve">Salaire dev solo (mois)</t>
  </si>
  <si>
    <t xml:space="preserve">FCFA (founder unpaid)</t>
  </si>
  <si>
    <t xml:space="preserve">Honoraires juriste (unique)</t>
  </si>
  <si>
    <t xml:space="preserve">Studio audio Wolof (unique)</t>
  </si>
  <si>
    <t xml:space="preserve">FCFA (30 fiches)</t>
  </si>
  <si>
    <t xml:space="preserve">Marketing soft launch</t>
  </si>
  <si>
    <t xml:space="preserve">Domaine + DNS annuel</t>
  </si>
  <si>
    <t xml:space="preserve">FCFA/an</t>
  </si>
  <si>
    <t xml:space="preserve">Budget MVP — 90 jours (J1 → J90)</t>
  </si>
  <si>
    <t xml:space="preserve">Poste</t>
  </si>
  <si>
    <t xml:space="preserve">Catégorie</t>
  </si>
  <si>
    <t xml:space="preserve">Montant FCFA</t>
  </si>
  <si>
    <t xml:space="preserve">Notes</t>
  </si>
  <si>
    <t xml:space="preserve">Infra &amp; SaaS</t>
  </si>
  <si>
    <t xml:space="preserve">Supabase Free → Pro mois 2-3</t>
  </si>
  <si>
    <t xml:space="preserve">Infra</t>
  </si>
  <si>
    <t xml:space="preserve">Free tier MVP. Pro = 25 USD ≈ 15 000 FCFA si dépassement</t>
  </si>
  <si>
    <t xml:space="preserve">Vercel Hobby</t>
  </si>
  <si>
    <t xml:space="preserve">Free tier suffit MVP</t>
  </si>
  <si>
    <t xml:space="preserve">Bunny.net CDN</t>
  </si>
  <si>
    <t xml:space="preserve">0.005 USD/Go · ~1 000 users × 15 Mo × 3 mois</t>
  </si>
  <si>
    <t xml:space="preserve">Sentry Free</t>
  </si>
  <si>
    <t xml:space="preserve">Free tier 5k events/mois</t>
  </si>
  <si>
    <t xml:space="preserve">Plausible self-hosted</t>
  </si>
  <si>
    <t xml:space="preserve">ou Cloud 9 USD/mois si fainéant</t>
  </si>
  <si>
    <t xml:space="preserve">Upstash Redis Free</t>
  </si>
  <si>
    <t xml:space="preserve">Free 10k commands/jour suffit rate-limit</t>
  </si>
  <si>
    <t xml:space="preserve">Sous-total Infra &amp; SaaS</t>
  </si>
  <si>
    <t xml:space="preserve">Communications</t>
  </si>
  <si>
    <t xml:space="preserve">Africa's Talking SMS (~3 000 SMS)</t>
  </si>
  <si>
    <t xml:space="preserve">Comm</t>
  </si>
  <si>
    <t xml:space="preserve">30 FCFA × 3 000 OTP estimés sur 90j</t>
  </si>
  <si>
    <t xml:space="preserve">WhatsApp Business API setup</t>
  </si>
  <si>
    <t xml:space="preserve">Free + envoi marketing 12 FCFA/conversation après free tier</t>
  </si>
  <si>
    <t xml:space="preserve">PayDunya commission (75 ventes × 122)</t>
  </si>
  <si>
    <t xml:space="preserve">2.5% × 4 900 × 75</t>
  </si>
  <si>
    <t xml:space="preserve">Sous-total Communications</t>
  </si>
  <si>
    <t xml:space="preserve">Contenu</t>
  </si>
  <si>
    <t xml:space="preserve">Studio audio Wolof (30 fiches MVP)</t>
  </si>
  <si>
    <t xml:space="preserve">Voix-off + relecture. À reporter si budget refusé</t>
  </si>
  <si>
    <t xml:space="preserve">Dataset questions UEMOA (achat ou rédaction)</t>
  </si>
  <si>
    <t xml:space="preserve">Soit achat dataset existant, soit rédaction freelance</t>
  </si>
  <si>
    <t xml:space="preserve">Illustrations / photos panneaux UEMOA</t>
  </si>
  <si>
    <t xml:space="preserve">Banque images locale ou shoot perso à Dakar</t>
  </si>
  <si>
    <t xml:space="preserve">Sous-total Contenu</t>
  </si>
  <si>
    <t xml:space="preserve">Légal &amp; Conformité</t>
  </si>
  <si>
    <t xml:space="preserve">Consultation juriste sénégalais</t>
  </si>
  <si>
    <t xml:space="preserve">Légal</t>
  </si>
  <si>
    <t xml:space="preserve">CGU + CDP + ARTP compliance</t>
  </si>
  <si>
    <t xml:space="preserve">Déclaration CDP (commission protection données)</t>
  </si>
  <si>
    <t xml:space="preserve">Procédure obligatoire collecte phone</t>
  </si>
  <si>
    <t xml:space="preserve">Sous-total Légal &amp; Conformité</t>
  </si>
  <si>
    <t xml:space="preserve">Domaine &amp; Marque</t>
  </si>
  <si>
    <t xml:space="preserve">Domaine .com (1 an)</t>
  </si>
  <si>
    <t xml:space="preserve">Marque</t>
  </si>
  <si>
    <t xml:space="preserve">ou .sn ≈ 30 000 FCFA</t>
  </si>
  <si>
    <t xml:space="preserve">Identité visuelle minimale</t>
  </si>
  <si>
    <t xml:space="preserve">Logo + 1 page brand mini</t>
  </si>
  <si>
    <t xml:space="preserve">Sous-total Domaine &amp; Marque</t>
  </si>
  <si>
    <t xml:space="preserve">Launch &amp; Marketing</t>
  </si>
  <si>
    <t xml:space="preserve">Campagne soft launch WhatsApp Dakar</t>
  </si>
  <si>
    <t xml:space="preserve">Launch</t>
  </si>
  <si>
    <t xml:space="preserve">Targeting auto-écoles partenaires</t>
  </si>
  <si>
    <t xml:space="preserve">3 partenariats auto-écoles (kit promo papier)</t>
  </si>
  <si>
    <t xml:space="preserve">Flyers A6 imprimés × 500</t>
  </si>
  <si>
    <t xml:space="preserve">Posters publicitaires lieux passage permis</t>
  </si>
  <si>
    <t xml:space="preserve">A3 × 20 emplacements stratégiques</t>
  </si>
  <si>
    <t xml:space="preserve">Sous-total Launch &amp; Marketing</t>
  </si>
  <si>
    <t xml:space="preserve">RH</t>
  </si>
  <si>
    <t xml:space="preserve">Salaire dev solo (3 mois)</t>
  </si>
  <si>
    <t xml:space="preserve">Founder unpaid si bootstrap, sinon ~600k FCFA/mois marché Dakar</t>
  </si>
  <si>
    <t xml:space="preserve">Sous-total RH</t>
  </si>
  <si>
    <t xml:space="preserve">TOTAL MVP 90 jours</t>
  </si>
  <si>
    <t xml:space="preserve">REVENUS PRÉVISIONNELS MVP (90j)</t>
  </si>
  <si>
    <t xml:space="preserve">Users inscrits (cible)</t>
  </si>
  <si>
    <t xml:space="preserve">Taux activation pass</t>
  </si>
  <si>
    <t xml:space="preserve">Pass activés</t>
  </si>
  <si>
    <t xml:space="preserve">Revenu brut</t>
  </si>
  <si>
    <t xml:space="preserve">Marge brute (revenu - coûts variables)</t>
  </si>
  <si>
    <t xml:space="preserve">Break-even (passes nécessaires)</t>
  </si>
  <si>
    <t xml:space="preserve">Projection 12 mois post-launch</t>
  </si>
  <si>
    <t xml:space="preserve">Métrique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</si>
  <si>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</si>
  <si>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</si>
  <si>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</si>
  <si>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</si>
  <si>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</si>
  <si>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</si>
  <si>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</si>
  <si>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</si>
  <si>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</si>
  <si>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</si>
  <si>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</si>
  <si>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</si>
  <si>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 12m</t>
  </si>
  <si>
    <t xml:space="preserve">Users inscrits (cumul)</t>
  </si>
  <si>
    <t xml:space="preserve">Pass activés (nouveaux mensuels)</t>
  </si>
  <si>
    <t xml:space="preserve">Revenu mensuel</t>
  </si>
  <si>
    <t xml:space="preserve">Coûts mensuels (infra + comm)</t>
  </si>
  <si>
    <t xml:space="preserve">Marge brute mensuelle</t>
  </si>
  <si>
    <t xml:space="preserve">Marge cumulée</t>
  </si>
  <si>
    <t xml:space="preserve">Notes :</t>
  </si>
  <si>
    <t xml:space="preserve">• Croissance MoM = paramètre 'Hypothèses!B16'. 40% est optimiste mais réaliste en bouche-à-oreille auto-école.</t>
  </si>
  <si>
    <t xml:space="preserve">• Pass 90 jours = on n'inclut pas le re-pass dans la projection M1-M3 (cycle pas terminé).</t>
  </si>
  <si>
    <t xml:space="preserve">• Coûts mensuels = infra (15k FCFA mini Vercel+CDN+Supabase Pro si dépassement) + SMS prorata users.</t>
  </si>
  <si>
    <t xml:space="preserve">• Marge cumulée M12 = trésorerie disponible pour V2 (Stripe Connect diaspora, codes B2B2C, etc.).</t>
  </si>
  <si>
    <t xml:space="preserve">• Modèle exclut salaire dev. Si dev rémunéré 600k FCFA/mois, soustraire 7.2M FCFA sur 12m.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</si>
</sst>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(#,##0\);\-"/>
    <numFmt numFmtId="166" formatCode="0.0%;[RED]\-0.0%;\-"/>
    <numFmt numFmtId="167" formatCode="#,##0&quot; FCFA&quot;;[RED]\(#,##0&quot; FCFA)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2E74B5"/>
        <bgColor rgb="FF0066CC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5" customFormat="false" ht="15" hidden="false" customHeight="false" outlineLevel="0" collapsed="false">
      <c r="A5" s="3" t="s">
        <v>2</v>
      </c>
      <c r="B5" s="3"/>
      <c r="C5" s="3"/>
    </row>
    <row r="6" customFormat="false" ht="15" hidden="false" customHeight="false" outlineLevel="0" collapsed="false">
      <c r="A6" s="0" t="s">
        <v>3</v>
      </c>
      <c r="B6" s="4" t="n">
        <v>4900</v>
      </c>
      <c r="C6" s="5" t="s">
        <v>4</v>
      </c>
    </row>
    <row r="7" customFormat="false" ht="15" hidden="false" customHeight="false" outlineLevel="0" collapsed="false">
      <c r="A7" s="0" t="s">
        <v>5</v>
      </c>
      <c r="B7" s="4" t="n">
        <v>90</v>
      </c>
      <c r="C7" s="5" t="s">
        <v>6</v>
      </c>
    </row>
    <row r="8" customFormat="false" ht="15" hidden="false" customHeight="false" outlineLevel="0" collapsed="false">
      <c r="A8" s="0" t="s">
        <v>7</v>
      </c>
      <c r="B8" s="6" t="n">
        <v>0.025</v>
      </c>
      <c r="C8" s="5" t="s">
        <v>8</v>
      </c>
    </row>
    <row r="9" customFormat="false" ht="15" hidden="false" customHeight="false" outlineLevel="0" collapsed="false">
      <c r="A9" s="0" t="s">
        <v>9</v>
      </c>
      <c r="B9" s="4" t="n">
        <v>30</v>
      </c>
      <c r="C9" s="5" t="s">
        <v>4</v>
      </c>
    </row>
    <row r="10" customFormat="false" ht="15" hidden="false" customHeight="false" outlineLevel="0" collapsed="false">
      <c r="A10" s="0" t="s">
        <v>10</v>
      </c>
      <c r="B10" s="4" t="n">
        <v>5000</v>
      </c>
      <c r="C10" s="5" t="s">
        <v>11</v>
      </c>
    </row>
    <row r="12" customFormat="false" ht="15" hidden="false" customHeight="false" outlineLevel="0" collapsed="false">
      <c r="A12" s="3" t="s">
        <v>12</v>
      </c>
      <c r="B12" s="3"/>
      <c r="C12" s="3"/>
    </row>
    <row r="13" customFormat="false" ht="15" hidden="false" customHeight="false" outlineLevel="0" collapsed="false">
      <c r="A13" s="0" t="s">
        <v>13</v>
      </c>
      <c r="B13" s="4" t="n">
        <v>500</v>
      </c>
      <c r="C13" s="5" t="s">
        <v>14</v>
      </c>
    </row>
    <row r="14" customFormat="false" ht="15" hidden="false" customHeight="false" outlineLevel="0" collapsed="false">
      <c r="A14" s="0" t="s">
        <v>15</v>
      </c>
      <c r="B14" s="6" t="n">
        <v>0.3</v>
      </c>
      <c r="C14" s="5" t="s">
        <v>8</v>
      </c>
    </row>
    <row r="15" customFormat="false" ht="15" hidden="false" customHeight="false" outlineLevel="0" collapsed="false">
      <c r="A15" s="0" t="s">
        <v>16</v>
      </c>
      <c r="B15" s="6" t="n">
        <v>0.15</v>
      </c>
      <c r="C15" s="5" t="s">
        <v>8</v>
      </c>
    </row>
    <row r="16" customFormat="false" ht="15" hidden="false" customHeight="false" outlineLevel="0" collapsed="false">
      <c r="A16" s="0" t="s">
        <v>17</v>
      </c>
      <c r="B16" s="6" t="n">
        <v>0.4</v>
      </c>
      <c r="C16" s="5" t="s">
        <v>18</v>
      </c>
    </row>
    <row r="17" customFormat="false" ht="15" hidden="false" customHeight="false" outlineLevel="0" collapsed="false">
      <c r="A17" s="0" t="s">
        <v>19</v>
      </c>
      <c r="B17" s="6" t="n">
        <v>0.2</v>
      </c>
      <c r="C17" s="5" t="s">
        <v>20</v>
      </c>
    </row>
    <row r="19" customFormat="false" ht="15" hidden="false" customHeight="false" outlineLevel="0" collapsed="false">
      <c r="A19" s="3" t="s">
        <v>21</v>
      </c>
      <c r="B19" s="3"/>
      <c r="C19" s="3"/>
    </row>
    <row r="20" customFormat="false" ht="15" hidden="false" customHeight="false" outlineLevel="0" collapsed="false">
      <c r="A20" s="0" t="s">
        <v>22</v>
      </c>
      <c r="B20" s="4" t="n">
        <v>0</v>
      </c>
      <c r="C20" s="5" t="s">
        <v>23</v>
      </c>
    </row>
    <row r="21" customFormat="false" ht="15" hidden="false" customHeight="false" outlineLevel="0" collapsed="false">
      <c r="A21" s="0" t="s">
        <v>24</v>
      </c>
      <c r="B21" s="4" t="n">
        <v>75000</v>
      </c>
      <c r="C21" s="5" t="s">
        <v>4</v>
      </c>
    </row>
    <row r="22" customFormat="false" ht="15" hidden="false" customHeight="false" outlineLevel="0" collapsed="false">
      <c r="A22" s="0" t="s">
        <v>25</v>
      </c>
      <c r="B22" s="4" t="n">
        <v>350000</v>
      </c>
      <c r="C22" s="5" t="s">
        <v>26</v>
      </c>
    </row>
    <row r="23" customFormat="false" ht="15" hidden="false" customHeight="false" outlineLevel="0" collapsed="false">
      <c r="A23" s="0" t="s">
        <v>27</v>
      </c>
      <c r="B23" s="4" t="n">
        <v>50000</v>
      </c>
      <c r="C23" s="5" t="s">
        <v>4</v>
      </c>
    </row>
    <row r="24" customFormat="false" ht="15" hidden="false" customHeight="false" outlineLevel="0" collapsed="false">
      <c r="A24" s="0" t="s">
        <v>28</v>
      </c>
      <c r="B24" s="4" t="n">
        <v>15000</v>
      </c>
      <c r="C24" s="5" t="s">
        <v>29</v>
      </c>
    </row>
  </sheetData>
  <mergeCells count="5">
    <mergeCell ref="A1:C1"/>
    <mergeCell ref="A3:C3"/>
    <mergeCell ref="A5:C5"/>
    <mergeCell ref="A12:C1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1" t="s">
        <v>30</v>
      </c>
      <c r="B1" s="1"/>
      <c r="C1" s="1"/>
      <c r="D1" s="1"/>
    </row>
    <row r="3" customFormat="false" ht="15" hidden="false" customHeight="false" outlineLevel="0" collapsed="false">
      <c r="A3" s="7" t="s">
        <v>31</v>
      </c>
      <c r="B3" s="7" t="s">
        <v>32</v>
      </c>
      <c r="C3" s="7" t="s">
        <v>33</v>
      </c>
      <c r="D3" s="7" t="s">
        <v>34</v>
      </c>
    </row>
    <row r="4" customFormat="false" ht="15" hidden="false" customHeight="false" outlineLevel="0" collapsed="false">
      <c r="A4" s="3" t="s">
        <v>35</v>
      </c>
      <c r="B4" s="3"/>
      <c r="C4" s="3"/>
      <c r="D4" s="3"/>
    </row>
    <row r="5" customFormat="false" ht="15" hidden="false" customHeight="false" outlineLevel="0" collapsed="false">
      <c r="A5" s="8" t="s">
        <v>36</v>
      </c>
      <c r="B5" s="8" t="s">
        <v>37</v>
      </c>
      <c r="C5" s="9" t="n">
        <v>0</v>
      </c>
      <c r="D5" s="10" t="s">
        <v>38</v>
      </c>
    </row>
    <row r="6" customFormat="false" ht="15" hidden="false" customHeight="false" outlineLevel="0" collapsed="false">
      <c r="A6" s="8" t="s">
        <v>39</v>
      </c>
      <c r="B6" s="8" t="s">
        <v>37</v>
      </c>
      <c r="C6" s="9" t="n">
        <v>0</v>
      </c>
      <c r="D6" s="10" t="s">
        <v>40</v>
      </c>
    </row>
    <row r="7" customFormat="false" ht="15" hidden="false" customHeight="false" outlineLevel="0" collapsed="false">
      <c r="A7" s="8" t="s">
        <v>41</v>
      </c>
      <c r="B7" s="8" t="s">
        <v>37</v>
      </c>
      <c r="C7" s="9" t="n">
        <v>6000</v>
      </c>
      <c r="D7" s="10" t="s">
        <v>42</v>
      </c>
    </row>
    <row r="8" customFormat="false" ht="15" hidden="false" customHeight="false" outlineLevel="0" collapsed="false">
      <c r="A8" s="8" t="s">
        <v>43</v>
      </c>
      <c r="B8" s="8" t="s">
        <v>37</v>
      </c>
      <c r="C8" s="9" t="n">
        <v>0</v>
      </c>
      <c r="D8" s="10" t="s">
        <v>44</v>
      </c>
    </row>
    <row r="9" customFormat="false" ht="15" hidden="false" customHeight="false" outlineLevel="0" collapsed="false">
      <c r="A9" s="8" t="s">
        <v>45</v>
      </c>
      <c r="B9" s="8" t="s">
        <v>37</v>
      </c>
      <c r="C9" s="9" t="n">
        <v>0</v>
      </c>
      <c r="D9" s="10" t="s">
        <v>46</v>
      </c>
    </row>
    <row r="10" customFormat="false" ht="15" hidden="false" customHeight="false" outlineLevel="0" collapsed="false">
      <c r="A10" s="8" t="s">
        <v>47</v>
      </c>
      <c r="B10" s="8" t="s">
        <v>37</v>
      </c>
      <c r="C10" s="9" t="n">
        <v>0</v>
      </c>
      <c r="D10" s="10" t="s">
        <v>48</v>
      </c>
    </row>
    <row r="11" customFormat="false" ht="15" hidden="false" customHeight="false" outlineLevel="0" collapsed="false">
      <c r="A11" s="11" t="s">
        <v>49</v>
      </c>
      <c r="B11" s="12"/>
      <c r="C11" s="13" t="n">
        <f aca="false">SUM(C5:C10)</f>
        <v>6000</v>
      </c>
      <c r="D11" s="12"/>
    </row>
    <row r="13" customFormat="false" ht="15" hidden="false" customHeight="false" outlineLevel="0" collapsed="false">
      <c r="A13" s="3" t="s">
        <v>50</v>
      </c>
      <c r="B13" s="3"/>
      <c r="C13" s="3"/>
      <c r="D13" s="3"/>
    </row>
    <row r="14" customFormat="false" ht="15" hidden="false" customHeight="false" outlineLevel="0" collapsed="false">
      <c r="A14" s="8" t="s">
        <v>51</v>
      </c>
      <c r="B14" s="8" t="s">
        <v>52</v>
      </c>
      <c r="C14" s="9" t="n">
        <v>90000</v>
      </c>
      <c r="D14" s="10" t="s">
        <v>53</v>
      </c>
    </row>
    <row r="15" customFormat="false" ht="15" hidden="false" customHeight="false" outlineLevel="0" collapsed="false">
      <c r="A15" s="8" t="s">
        <v>54</v>
      </c>
      <c r="B15" s="8" t="s">
        <v>52</v>
      </c>
      <c r="C15" s="9" t="n">
        <v>0</v>
      </c>
      <c r="D15" s="10" t="s">
        <v>55</v>
      </c>
    </row>
    <row r="16" customFormat="false" ht="15" hidden="false" customHeight="false" outlineLevel="0" collapsed="false">
      <c r="A16" s="8" t="s">
        <v>56</v>
      </c>
      <c r="B16" s="8" t="s">
        <v>52</v>
      </c>
      <c r="C16" s="9" t="n">
        <v>9150</v>
      </c>
      <c r="D16" s="10" t="s">
        <v>57</v>
      </c>
    </row>
    <row r="17" customFormat="false" ht="15" hidden="false" customHeight="false" outlineLevel="0" collapsed="false">
      <c r="A17" s="11" t="s">
        <v>58</v>
      </c>
      <c r="B17" s="12"/>
      <c r="C17" s="13" t="n">
        <f aca="false">SUM(C14:C16)</f>
        <v>99150</v>
      </c>
      <c r="D17" s="12"/>
    </row>
    <row r="19" customFormat="false" ht="15" hidden="false" customHeight="false" outlineLevel="0" collapsed="false">
      <c r="A19" s="3" t="s">
        <v>59</v>
      </c>
      <c r="B19" s="3"/>
      <c r="C19" s="3"/>
      <c r="D19" s="3"/>
    </row>
    <row r="20" customFormat="false" ht="15" hidden="false" customHeight="false" outlineLevel="0" collapsed="false">
      <c r="A20" s="8" t="s">
        <v>60</v>
      </c>
      <c r="B20" s="8" t="s">
        <v>59</v>
      </c>
      <c r="C20" s="14" t="n">
        <f aca="false">Hypothèses!B22</f>
        <v>350000</v>
      </c>
      <c r="D20" s="10" t="s">
        <v>61</v>
      </c>
    </row>
    <row r="21" customFormat="false" ht="15" hidden="false" customHeight="false" outlineLevel="0" collapsed="false">
      <c r="A21" s="8" t="s">
        <v>62</v>
      </c>
      <c r="B21" s="8" t="s">
        <v>59</v>
      </c>
      <c r="C21" s="9" t="n">
        <v>50000</v>
      </c>
      <c r="D21" s="10" t="s">
        <v>63</v>
      </c>
    </row>
    <row r="22" customFormat="false" ht="15" hidden="false" customHeight="false" outlineLevel="0" collapsed="false">
      <c r="A22" s="8" t="s">
        <v>64</v>
      </c>
      <c r="B22" s="8" t="s">
        <v>59</v>
      </c>
      <c r="C22" s="9" t="n">
        <v>25000</v>
      </c>
      <c r="D22" s="10" t="s">
        <v>65</v>
      </c>
    </row>
    <row r="23" customFormat="false" ht="15" hidden="false" customHeight="false" outlineLevel="0" collapsed="false">
      <c r="A23" s="11" t="s">
        <v>66</v>
      </c>
      <c r="B23" s="12"/>
      <c r="C23" s="13" t="n">
        <f aca="false">SUM(C20:C22)</f>
        <v>425000</v>
      </c>
      <c r="D23" s="12"/>
    </row>
    <row r="25" customFormat="false" ht="15" hidden="false" customHeight="false" outlineLevel="0" collapsed="false">
      <c r="A25" s="3" t="s">
        <v>67</v>
      </c>
      <c r="B25" s="3"/>
      <c r="C25" s="3"/>
      <c r="D25" s="3"/>
    </row>
    <row r="26" customFormat="false" ht="15" hidden="false" customHeight="false" outlineLevel="0" collapsed="false">
      <c r="A26" s="8" t="s">
        <v>68</v>
      </c>
      <c r="B26" s="8" t="s">
        <v>69</v>
      </c>
      <c r="C26" s="14" t="n">
        <f aca="false">Hypothèses!B21</f>
        <v>75000</v>
      </c>
      <c r="D26" s="10" t="s">
        <v>70</v>
      </c>
    </row>
    <row r="27" customFormat="false" ht="15" hidden="false" customHeight="false" outlineLevel="0" collapsed="false">
      <c r="A27" s="8" t="s">
        <v>71</v>
      </c>
      <c r="B27" s="8" t="s">
        <v>69</v>
      </c>
      <c r="C27" s="9" t="n">
        <v>25000</v>
      </c>
      <c r="D27" s="10" t="s">
        <v>72</v>
      </c>
    </row>
    <row r="28" customFormat="false" ht="15" hidden="false" customHeight="false" outlineLevel="0" collapsed="false">
      <c r="A28" s="11" t="s">
        <v>73</v>
      </c>
      <c r="B28" s="12"/>
      <c r="C28" s="13" t="n">
        <f aca="false">SUM(C26:C27)</f>
        <v>100000</v>
      </c>
      <c r="D28" s="12"/>
    </row>
    <row r="30" customFormat="false" ht="15" hidden="false" customHeight="false" outlineLevel="0" collapsed="false">
      <c r="A30" s="3" t="s">
        <v>74</v>
      </c>
      <c r="B30" s="3"/>
      <c r="C30" s="3"/>
      <c r="D30" s="3"/>
    </row>
    <row r="31" customFormat="false" ht="15" hidden="false" customHeight="false" outlineLevel="0" collapsed="false">
      <c r="A31" s="8" t="s">
        <v>75</v>
      </c>
      <c r="B31" s="8" t="s">
        <v>76</v>
      </c>
      <c r="C31" s="9" t="n">
        <v>8000</v>
      </c>
      <c r="D31" s="10" t="s">
        <v>77</v>
      </c>
    </row>
    <row r="32" customFormat="false" ht="15" hidden="false" customHeight="false" outlineLevel="0" collapsed="false">
      <c r="A32" s="8" t="s">
        <v>78</v>
      </c>
      <c r="B32" s="8" t="s">
        <v>76</v>
      </c>
      <c r="C32" s="9" t="n">
        <v>30000</v>
      </c>
      <c r="D32" s="10" t="s">
        <v>79</v>
      </c>
    </row>
    <row r="33" customFormat="false" ht="15" hidden="false" customHeight="false" outlineLevel="0" collapsed="false">
      <c r="A33" s="11" t="s">
        <v>80</v>
      </c>
      <c r="B33" s="12"/>
      <c r="C33" s="13" t="n">
        <f aca="false">SUM(C31:C32)</f>
        <v>38000</v>
      </c>
      <c r="D33" s="12"/>
    </row>
    <row r="35" customFormat="false" ht="15" hidden="false" customHeight="false" outlineLevel="0" collapsed="false">
      <c r="A35" s="3" t="s">
        <v>81</v>
      </c>
      <c r="B35" s="3"/>
      <c r="C35" s="3"/>
      <c r="D35" s="3"/>
    </row>
    <row r="36" customFormat="false" ht="15" hidden="false" customHeight="false" outlineLevel="0" collapsed="false">
      <c r="A36" s="8" t="s">
        <v>82</v>
      </c>
      <c r="B36" s="8" t="s">
        <v>83</v>
      </c>
      <c r="C36" s="14" t="n">
        <f aca="false">Hypothèses!B23</f>
        <v>50000</v>
      </c>
      <c r="D36" s="10" t="s">
        <v>84</v>
      </c>
    </row>
    <row r="37" customFormat="false" ht="15" hidden="false" customHeight="false" outlineLevel="0" collapsed="false">
      <c r="A37" s="8" t="s">
        <v>85</v>
      </c>
      <c r="B37" s="8" t="s">
        <v>83</v>
      </c>
      <c r="C37" s="9" t="n">
        <v>20000</v>
      </c>
      <c r="D37" s="10" t="s">
        <v>86</v>
      </c>
    </row>
    <row r="38" customFormat="false" ht="15" hidden="false" customHeight="false" outlineLevel="0" collapsed="false">
      <c r="A38" s="8" t="s">
        <v>87</v>
      </c>
      <c r="B38" s="8" t="s">
        <v>83</v>
      </c>
      <c r="C38" s="9" t="n">
        <v>15000</v>
      </c>
      <c r="D38" s="10" t="s">
        <v>88</v>
      </c>
    </row>
    <row r="39" customFormat="false" ht="15" hidden="false" customHeight="false" outlineLevel="0" collapsed="false">
      <c r="A39" s="11" t="s">
        <v>89</v>
      </c>
      <c r="B39" s="12"/>
      <c r="C39" s="13" t="n">
        <f aca="false">SUM(C36:C38)</f>
        <v>85000</v>
      </c>
      <c r="D39" s="12"/>
    </row>
    <row r="41" customFormat="false" ht="15" hidden="false" customHeight="false" outlineLevel="0" collapsed="false">
      <c r="A41" s="3" t="s">
        <v>90</v>
      </c>
      <c r="B41" s="3"/>
      <c r="C41" s="3"/>
      <c r="D41" s="3"/>
    </row>
    <row r="42" customFormat="false" ht="15" hidden="false" customHeight="false" outlineLevel="0" collapsed="false">
      <c r="A42" s="8" t="s">
        <v>91</v>
      </c>
      <c r="B42" s="8" t="s">
        <v>90</v>
      </c>
      <c r="C42" s="14" t="n">
        <f aca="false">3*Hypothèses!B20</f>
        <v>0</v>
      </c>
      <c r="D42" s="10" t="s">
        <v>92</v>
      </c>
    </row>
    <row r="43" customFormat="false" ht="15" hidden="false" customHeight="false" outlineLevel="0" collapsed="false">
      <c r="A43" s="11" t="s">
        <v>93</v>
      </c>
      <c r="B43" s="12"/>
      <c r="C43" s="13" t="n">
        <f aca="false">SUM(C42)</f>
        <v>0</v>
      </c>
      <c r="D43" s="12"/>
    </row>
    <row r="45" customFormat="false" ht="27.75" hidden="false" customHeight="true" outlineLevel="0" collapsed="false">
      <c r="A45" s="15" t="s">
        <v>94</v>
      </c>
      <c r="B45" s="15"/>
      <c r="C45" s="16" t="n">
        <f aca="false">C11+C17+C23+C28+C33+C39+C43</f>
        <v>753150</v>
      </c>
      <c r="D45" s="17"/>
    </row>
    <row r="48" customFormat="false" ht="15" hidden="false" customHeight="false" outlineLevel="0" collapsed="false">
      <c r="A48" s="3" t="s">
        <v>95</v>
      </c>
      <c r="B48" s="3"/>
      <c r="C48" s="3"/>
      <c r="D48" s="3"/>
    </row>
    <row r="49" customFormat="false" ht="15" hidden="false" customHeight="false" outlineLevel="0" collapsed="false">
      <c r="A49" s="18" t="s">
        <v>96</v>
      </c>
      <c r="C49" s="4" t="n">
        <v>500</v>
      </c>
    </row>
    <row r="50" customFormat="false" ht="15" hidden="false" customHeight="false" outlineLevel="0" collapsed="false">
      <c r="A50" s="18" t="s">
        <v>97</v>
      </c>
      <c r="C50" s="19" t="n">
        <f aca="false">Hypothèses!B15</f>
        <v>0.15</v>
      </c>
    </row>
    <row r="51" customFormat="false" ht="15" hidden="false" customHeight="false" outlineLevel="0" collapsed="false">
      <c r="A51" s="18" t="s">
        <v>98</v>
      </c>
      <c r="C51" s="20" t="n">
        <f aca="false">C49*C50</f>
        <v>75</v>
      </c>
    </row>
    <row r="52" customFormat="false" ht="15" hidden="false" customHeight="false" outlineLevel="0" collapsed="false">
      <c r="A52" s="21" t="s">
        <v>99</v>
      </c>
      <c r="C52" s="22" t="n">
        <f aca="false">C51*Hypothèses!B6</f>
        <v>367500</v>
      </c>
    </row>
    <row r="53" customFormat="false" ht="15" hidden="false" customHeight="false" outlineLevel="0" collapsed="false">
      <c r="A53" s="21" t="s">
        <v>100</v>
      </c>
      <c r="C53" s="22" t="n">
        <f aca="false">C52-C45</f>
        <v>-385650</v>
      </c>
    </row>
    <row r="55" customFormat="false" ht="15" hidden="false" customHeight="false" outlineLevel="0" collapsed="false">
      <c r="A55" s="21" t="s">
        <v>101</v>
      </c>
      <c r="C55" s="23" t="n">
        <f aca="false">ROUNDUP(C45/Hypothèses!B6, 0)</f>
        <v>154</v>
      </c>
    </row>
  </sheetData>
  <mergeCells count="10">
    <mergeCell ref="A1:D1"/>
    <mergeCell ref="A4:D4"/>
    <mergeCell ref="A13:D13"/>
    <mergeCell ref="A19:D19"/>
    <mergeCell ref="A25:D25"/>
    <mergeCell ref="A30:D30"/>
    <mergeCell ref="A35:D35"/>
    <mergeCell ref="A41:D41"/>
    <mergeCell ref="A45:B45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4"/>
  </cols>
  <sheetData>
    <row r="1" customFormat="false" ht="27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4" t="s">
        <v>103</v>
      </c>
      <c r="B3" s="25" t="s">
        <v>104</v>
      </c>
      <c r="C3" s="25" t="s">
        <v>105</v>
      </c>
      <c r="D3" s="25" t="s">
        <v>106</v>
      </c>
      <c r="E3" s="25" t="s">
        <v>107</v>
      </c>
      <c r="F3" s="25" t="s">
        <v>108</v>
      </c>
      <c r="G3" s="25" t="s">
        <v>109</v>
      </c>
      <c r="H3" s="25" t="s">
        <v>110</v>
      </c>
      <c r="I3" s="25" t="s">
        <v>111</v>
      </c>
      <c r="J3" s="25" t="s">
        <v>112</v>
      </c>
      <c r="K3" s="25" t="s">
        <v>113</v>
      </c>
      <c r="L3" s="25" t="s">
        <v>114</v>
      </c>
      <c r="M3" s="25" t="s">
        <v>115</v>
      </c>
      <c r="N3" s="24" t="s">
        <v>116</v>
      </c>
    </row>
    <row r="4" customFormat="false" ht="15" hidden="false" customHeight="false" outlineLevel="0" collapsed="false">
      <c r="A4" s="18" t="s">
        <v>117</v>
      </c>
      <c r="B4" s="26" t="n">
        <v>500</v>
      </c>
      <c r="C4" s="27" t="n">
        <f aca="false">ROUND(B4*(1+Hypothèses!B16), 0)</f>
        <v>700</v>
      </c>
      <c r="D4" s="27" t="n">
        <f aca="false">ROUND(C4*(1+Hypothèses!B16), 0)</f>
        <v>980</v>
      </c>
      <c r="E4" s="27" t="n">
        <f aca="false">ROUND(D4*(1+Hypothèses!B16), 0)</f>
        <v>1372</v>
      </c>
      <c r="F4" s="27" t="n">
        <f aca="false">ROUND(E4*(1+Hypothèses!B16), 0)</f>
        <v>1921</v>
      </c>
      <c r="G4" s="27" t="n">
        <f aca="false">ROUND(F4*(1+Hypothèses!B16), 0)</f>
        <v>2689</v>
      </c>
      <c r="H4" s="27" t="n">
        <f aca="false">ROUND(G4*(1+Hypothèses!B16), 0)</f>
        <v>3765</v>
      </c>
      <c r="I4" s="27" t="n">
        <f aca="false">ROUND(H4*(1+Hypothèses!B16), 0)</f>
        <v>5271</v>
      </c>
      <c r="J4" s="27" t="n">
        <f aca="false">ROUND(I4*(1+Hypothèses!B16), 0)</f>
        <v>7379</v>
      </c>
      <c r="K4" s="27" t="n">
        <f aca="false">ROUND(J4*(1+Hypothèses!B16), 0)</f>
        <v>10331</v>
      </c>
      <c r="L4" s="27" t="n">
        <f aca="false">ROUND(K4*(1+Hypothèses!B16), 0)</f>
        <v>14463</v>
      </c>
      <c r="M4" s="27" t="n">
        <f aca="false">ROUND(L4*(1+Hypothèses!B16), 0)</f>
        <v>20248</v>
      </c>
      <c r="N4" s="27"/>
    </row>
    <row r="5" customFormat="false" ht="15" hidden="false" customHeight="false" outlineLevel="0" collapsed="false">
      <c r="A5" s="18" t="s">
        <v>118</v>
      </c>
      <c r="B5" s="28" t="n">
        <f aca="false">ROUND(B4*Hypothèses!B15, 0)</f>
        <v>75</v>
      </c>
      <c r="C5" s="28" t="n">
        <f aca="false">ROUND((C4-B4)*Hypothèses!B15, 0)</f>
        <v>30</v>
      </c>
      <c r="D5" s="28" t="n">
        <f aca="false">ROUND((D4-C4)*Hypothèses!B15, 0)</f>
        <v>42</v>
      </c>
      <c r="E5" s="28" t="n">
        <f aca="false">ROUND((E4-D4)*Hypothèses!B15, 0)</f>
        <v>59</v>
      </c>
      <c r="F5" s="28" t="n">
        <f aca="false">ROUND((F4-E4)*Hypothèses!B15, 0)</f>
        <v>82</v>
      </c>
      <c r="G5" s="28" t="n">
        <f aca="false">ROUND((G4-F4)*Hypothèses!B15, 0)</f>
        <v>115</v>
      </c>
      <c r="H5" s="28" t="n">
        <f aca="false">ROUND((H4-G4)*Hypothèses!B15, 0)</f>
        <v>161</v>
      </c>
      <c r="I5" s="28" t="n">
        <f aca="false">ROUND((I4-H4)*Hypothèses!B15, 0)</f>
        <v>226</v>
      </c>
      <c r="J5" s="28" t="n">
        <f aca="false">ROUND((J4-I4)*Hypothèses!B15, 0)</f>
        <v>316</v>
      </c>
      <c r="K5" s="28" t="n">
        <f aca="false">ROUND((K4-J4)*Hypothèses!B15, 0)</f>
        <v>443</v>
      </c>
      <c r="L5" s="28" t="n">
        <f aca="false">ROUND((L4-K4)*Hypothèses!B15, 0)</f>
        <v>620</v>
      </c>
      <c r="M5" s="28" t="n">
        <f aca="false">ROUND((M4-L4)*Hypothèses!B15, 0)</f>
        <v>868</v>
      </c>
      <c r="N5" s="28" t="n">
        <f aca="false">SUM(B5:M5)</f>
        <v>3037</v>
      </c>
    </row>
    <row r="6" customFormat="false" ht="15" hidden="false" customHeight="false" outlineLevel="0" collapsed="false">
      <c r="A6" s="21" t="s">
        <v>119</v>
      </c>
      <c r="B6" s="29" t="n">
        <f aca="false">B5*Hypothèses!B6</f>
        <v>367500</v>
      </c>
      <c r="C6" s="29" t="n">
        <f aca="false">C5*Hypothèses!B6</f>
        <v>147000</v>
      </c>
      <c r="D6" s="29" t="n">
        <f aca="false">D5*Hypothèses!B6</f>
        <v>205800</v>
      </c>
      <c r="E6" s="29" t="n">
        <f aca="false">E5*Hypothèses!B6</f>
        <v>289100</v>
      </c>
      <c r="F6" s="29" t="n">
        <f aca="false">F5*Hypothèses!B6</f>
        <v>401800</v>
      </c>
      <c r="G6" s="29" t="n">
        <f aca="false">G5*Hypothèses!B6</f>
        <v>563500</v>
      </c>
      <c r="H6" s="29" t="n">
        <f aca="false">H5*Hypothèses!B6</f>
        <v>788900</v>
      </c>
      <c r="I6" s="29" t="n">
        <f aca="false">I5*Hypothèses!B6</f>
        <v>1107400</v>
      </c>
      <c r="J6" s="29" t="n">
        <f aca="false">J5*Hypothèses!B6</f>
        <v>1548400</v>
      </c>
      <c r="K6" s="29" t="n">
        <f aca="false">K5*Hypothèses!B6</f>
        <v>2170700</v>
      </c>
      <c r="L6" s="29" t="n">
        <f aca="false">L5*Hypothèses!B6</f>
        <v>3038000</v>
      </c>
      <c r="M6" s="29" t="n">
        <f aca="false">M5*Hypothèses!B6</f>
        <v>4253200</v>
      </c>
      <c r="N6" s="30" t="n">
        <f aca="false">SUM(B6:M6)</f>
        <v>14881300</v>
      </c>
    </row>
    <row r="7" customFormat="false" ht="15" hidden="false" customHeight="false" outlineLevel="0" collapsed="false">
      <c r="A7" s="18" t="s">
        <v>120</v>
      </c>
      <c r="B7" s="29" t="n">
        <f aca="false">15000+B4*Hypothèses!B14*0.3</f>
        <v>15045</v>
      </c>
      <c r="C7" s="29" t="n">
        <f aca="false">15000+C4*Hypothèses!B14*0.3</f>
        <v>15063</v>
      </c>
      <c r="D7" s="29" t="n">
        <f aca="false">15000+D4*Hypothèses!B14*0.3</f>
        <v>15088.2</v>
      </c>
      <c r="E7" s="29" t="n">
        <f aca="false">15000+E4*Hypothèses!B14*0.3</f>
        <v>15123.48</v>
      </c>
      <c r="F7" s="29" t="n">
        <f aca="false">15000+F4*Hypothèses!B14*0.3</f>
        <v>15172.89</v>
      </c>
      <c r="G7" s="29" t="n">
        <f aca="false">15000+G4*Hypothèses!B14*0.3</f>
        <v>15242.01</v>
      </c>
      <c r="H7" s="29" t="n">
        <f aca="false">15000+H4*Hypothèses!B14*0.3</f>
        <v>15338.85</v>
      </c>
      <c r="I7" s="29" t="n">
        <f aca="false">15000+I4*Hypothèses!B14*0.3</f>
        <v>15474.39</v>
      </c>
      <c r="J7" s="29" t="n">
        <f aca="false">15000+J4*Hypothèses!B14*0.3</f>
        <v>15664.11</v>
      </c>
      <c r="K7" s="29" t="n">
        <f aca="false">15000+K4*Hypothèses!B14*0.3</f>
        <v>15929.79</v>
      </c>
      <c r="L7" s="29" t="n">
        <f aca="false">15000+L4*Hypothèses!B14*0.3</f>
        <v>16301.67</v>
      </c>
      <c r="M7" s="29" t="n">
        <f aca="false">15000+M4*Hypothèses!B14*0.3</f>
        <v>16822.32</v>
      </c>
      <c r="N7" s="29" t="n">
        <f aca="false">SUM(B7:M7)</f>
        <v>186265.71</v>
      </c>
    </row>
    <row r="8" customFormat="false" ht="15" hidden="false" customHeight="false" outlineLevel="0" collapsed="false">
      <c r="A8" s="21" t="s">
        <v>121</v>
      </c>
      <c r="B8" s="31" t="n">
        <f aca="false">B6-B7</f>
        <v>352455</v>
      </c>
      <c r="C8" s="31" t="n">
        <f aca="false">C6-C7</f>
        <v>131937</v>
      </c>
      <c r="D8" s="31" t="n">
        <f aca="false">D6-D7</f>
        <v>190711.8</v>
      </c>
      <c r="E8" s="31" t="n">
        <f aca="false">E6-E7</f>
        <v>273976.52</v>
      </c>
      <c r="F8" s="31" t="n">
        <f aca="false">F6-F7</f>
        <v>386627.11</v>
      </c>
      <c r="G8" s="31" t="n">
        <f aca="false">G6-G7</f>
        <v>548257.99</v>
      </c>
      <c r="H8" s="31" t="n">
        <f aca="false">H6-H7</f>
        <v>773561.15</v>
      </c>
      <c r="I8" s="31" t="n">
        <f aca="false">I6-I7</f>
        <v>1091925.61</v>
      </c>
      <c r="J8" s="31" t="n">
        <f aca="false">J6-J7</f>
        <v>1532735.89</v>
      </c>
      <c r="K8" s="31" t="n">
        <f aca="false">K6-K7</f>
        <v>2154770.21</v>
      </c>
      <c r="L8" s="31" t="n">
        <f aca="false">L6-L7</f>
        <v>3021698.33</v>
      </c>
      <c r="M8" s="31" t="n">
        <f aca="false">M6-M7</f>
        <v>4236377.68</v>
      </c>
      <c r="N8" s="30" t="n">
        <f aca="false">SUM(B8:M8)</f>
        <v>14695034.29</v>
      </c>
    </row>
    <row r="9" customFormat="false" ht="15" hidden="false" customHeight="false" outlineLevel="0" collapsed="false">
      <c r="A9" s="21" t="s">
        <v>122</v>
      </c>
      <c r="B9" s="29" t="n">
        <f aca="false">B8</f>
        <v>352455</v>
      </c>
      <c r="C9" s="29" t="n">
        <f aca="false">B9+C8</f>
        <v>484392</v>
      </c>
      <c r="D9" s="29" t="n">
        <f aca="false">C9+D8</f>
        <v>675103.8</v>
      </c>
      <c r="E9" s="29" t="n">
        <f aca="false">D9+E8</f>
        <v>949080.32</v>
      </c>
      <c r="F9" s="29" t="n">
        <f aca="false">E9+F8</f>
        <v>1335707.43</v>
      </c>
      <c r="G9" s="29" t="n">
        <f aca="false">F9+G8</f>
        <v>1883965.42</v>
      </c>
      <c r="H9" s="29" t="n">
        <f aca="false">G9+H8</f>
        <v>2657526.57</v>
      </c>
      <c r="I9" s="29" t="n">
        <f aca="false">H9+I8</f>
        <v>3749452.18</v>
      </c>
      <c r="J9" s="29" t="n">
        <f aca="false">I9+J8</f>
        <v>5282188.07</v>
      </c>
      <c r="K9" s="29" t="n">
        <f aca="false">J9+K8</f>
        <v>7436958.28</v>
      </c>
      <c r="L9" s="29" t="n">
        <f aca="false">K9+L8</f>
        <v>10458656.61</v>
      </c>
      <c r="M9" s="29" t="n">
        <f aca="false">L9+M8</f>
        <v>14695034.29</v>
      </c>
      <c r="N9" s="30" t="n">
        <f aca="false">M9</f>
        <v>14695034.29</v>
      </c>
    </row>
    <row r="11" customFormat="false" ht="15" hidden="false" customHeight="false" outlineLevel="0" collapsed="false">
      <c r="A11" s="21" t="s">
        <v>123</v>
      </c>
    </row>
    <row r="12" customFormat="false" ht="15" hidden="false" customHeight="false" outlineLevel="0" collapsed="false">
      <c r="A12" s="2" t="s">
        <v>124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 t="s">
        <v>125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 t="s">
        <v>126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 t="s">
        <v>127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 t="s">
        <v>128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</sheetData>
  <mergeCells count="6">
    <mergeCell ref="A1:N1"/>
    <mergeCell ref="A12:N12"/>
    <mergeCell ref="A13:N13"/>
    <mergeCell ref="A14:N14"/>
    <mergeCell ref="A15:N15"/>
    <mergeCell ref="A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2026-05-17T22:21:02Z</dcterms:created>
  <dc:creator>openpyxl</dc:creator>
  <dc:description/>
  <dc:language>en-US</dc:language>
  <cp:lastModifiedBy/>
  <dcterms:modified xsi:type="dcterms:W3CDTF">2026-05-17T22:21:02Z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